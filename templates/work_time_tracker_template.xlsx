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т времени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 &quot;ч&quot;"/>
    <numFmt numFmtId="165" formatCode="+0.00 &quot;ч&quot;;-0.00 &quot;ч&quot;;0.00 &quot;ч&quot;"/>
    <numFmt numFmtId="166" formatCode="0.0%"/>
    <numFmt numFmtId="167" formatCode="0.0"/>
    <numFmt numFmtId="168" formatCode="DD.MM.YYYY"/>
    <numFmt numFmtId="169" formatCode="hh:mm"/>
    <numFmt numFmtId="170" formatCode="+0.00;-0.00;0.00"/>
  </numFmts>
  <fonts count="12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b val="1"/>
      <color rgb="001F497D"/>
      <sz val="13"/>
    </font>
    <font>
      <name val="Calibri"/>
      <color rgb="00595959"/>
      <sz val="9"/>
    </font>
    <font>
      <name val="Calibri"/>
      <b val="1"/>
      <color rgb="001F497D"/>
      <sz val="14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DF2F8"/>
        <bgColor rgb="00EDF2F8"/>
      </patternFill>
    </fill>
    <fill>
      <patternFill patternType="solid">
        <fgColor rgb="00F7F9FB"/>
        <bgColor rgb="00F7F9FB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808080"/>
      </top>
      <bottom style="double">
        <color rgb="001F497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center" vertical="center"/>
    </xf>
    <xf numFmtId="169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right" vertical="center"/>
    </xf>
    <xf numFmtId="170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0" fillId="0" borderId="2" pivotButton="0" quotePrefix="0" xfId="0"/>
    <xf numFmtId="164" fontId="4" fillId="2" borderId="2" applyAlignment="1" pivotButton="0" quotePrefix="0" xfId="0">
      <alignment horizontal="right" vertical="center"/>
    </xf>
    <xf numFmtId="165" fontId="4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F2F2F2"/>
          <bgColor rgb="00F2F2F2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ont>
        <b val="1"/>
        <color rgb="00276A3C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36" customWidth="1" min="11" max="11"/>
    <col width="6" customWidth="1" min="13" max="13"/>
    <col width="10" customWidth="1" min="14" max="14"/>
    <col width="28" customWidth="1" min="15" max="15"/>
  </cols>
  <sheetData>
    <row r="1">
      <c r="A1" s="1" t="inlineStr">
        <is>
          <t>ТАБЕЛЬ УЧЕТА РАБОЧЕГО ВРЕМЕНИ</t>
        </is>
      </c>
    </row>
    <row r="2">
      <c r="A2" s="2" t="inlineStr">
        <is>
          <t>Личный учет фактически отработанных часов и контроль нормы</t>
        </is>
      </c>
    </row>
    <row r="4">
      <c r="A4" s="3" t="inlineStr">
        <is>
          <t>ПАРАМЕТРЫ ПЕРИОДА</t>
        </is>
      </c>
      <c r="E4" s="4" t="inlineStr">
        <is>
          <t>ПЛАН НА МЕСЯЦ</t>
        </is>
      </c>
      <c r="F4" s="5" t="n"/>
      <c r="G4" s="4" t="inlineStr">
        <is>
          <t>ФАКТ ЗА МЕСЯЦ</t>
        </is>
      </c>
      <c r="H4" s="5" t="n"/>
      <c r="I4" s="4" t="inlineStr">
        <is>
          <t>БАЛАНС (ДЕЛЬТА)</t>
        </is>
      </c>
      <c r="J4" s="5" t="n"/>
      <c r="K4" s="4" t="inlineStr">
        <is>
          <t>ВЫПОЛНЕНИЕ</t>
        </is>
      </c>
      <c r="L4" s="5" t="n"/>
      <c r="M4" s="6" t="inlineStr">
        <is>
          <t>Код</t>
        </is>
      </c>
      <c r="N4" s="6" t="inlineStr">
        <is>
          <t>Норма, ч</t>
        </is>
      </c>
      <c r="O4" s="6" t="inlineStr">
        <is>
          <t>Описание</t>
        </is>
      </c>
    </row>
    <row r="5">
      <c r="A5" s="7" t="inlineStr">
        <is>
          <t>Год:</t>
        </is>
      </c>
      <c r="B5" s="8" t="n">
        <v>2026</v>
      </c>
      <c r="C5" s="9">
        <f>INDEX({"Январь","Февраль","Март","Апрель","Май","Июнь","Июль","Август","Сентябрь","Октябрь","Ноябрь","Декабрь"}, B6) &amp; " " &amp; B5</f>
        <v/>
      </c>
      <c r="E5" s="10">
        <f>SUM(I9:I39)</f>
        <v/>
      </c>
      <c r="F5" s="5" t="n"/>
      <c r="G5" s="10">
        <f>SUM(H9:H39)</f>
        <v/>
      </c>
      <c r="H5" s="5" t="n"/>
      <c r="I5" s="11">
        <f>G5-E5</f>
        <v/>
      </c>
      <c r="J5" s="5" t="n"/>
      <c r="K5" s="12">
        <f>IF(E5&gt;0, G5/E5, 0)</f>
        <v/>
      </c>
      <c r="L5" s="5" t="n"/>
      <c r="M5" s="13" t="inlineStr">
        <is>
          <t>Р</t>
        </is>
      </c>
      <c r="N5" s="14" t="n">
        <v>8</v>
      </c>
      <c r="O5" s="15" t="inlineStr">
        <is>
          <t>Рабочий день</t>
        </is>
      </c>
    </row>
    <row r="6">
      <c r="A6" s="7" t="inlineStr">
        <is>
          <t>Месяц (номер):</t>
        </is>
      </c>
      <c r="B6" s="8" t="n">
        <v>10</v>
      </c>
      <c r="C6" s="5" t="n"/>
      <c r="E6" s="5" t="n"/>
      <c r="F6" s="5" t="n"/>
      <c r="G6" s="5" t="n"/>
      <c r="H6" s="5" t="n"/>
      <c r="I6" s="5" t="n"/>
      <c r="J6" s="5" t="n"/>
      <c r="K6" s="5" t="n"/>
      <c r="L6" s="5" t="n"/>
      <c r="M6" s="13" t="inlineStr">
        <is>
          <t>ПР</t>
        </is>
      </c>
      <c r="N6" s="14" t="n">
        <v>7</v>
      </c>
      <c r="O6" s="15" t="inlineStr">
        <is>
          <t>Предпраздничный (сокращенный)</t>
        </is>
      </c>
    </row>
    <row r="7">
      <c r="M7" s="13" t="inlineStr">
        <is>
          <t>В</t>
        </is>
      </c>
      <c r="N7" s="14" t="n">
        <v>0</v>
      </c>
      <c r="O7" s="15" t="inlineStr">
        <is>
          <t>Выходной день</t>
        </is>
      </c>
    </row>
    <row r="8">
      <c r="A8" s="16" t="inlineStr">
        <is>
          <t>№</t>
        </is>
      </c>
      <c r="B8" s="16" t="inlineStr">
        <is>
          <t>Дата</t>
        </is>
      </c>
      <c r="C8" s="16" t="inlineStr">
        <is>
          <t>День</t>
        </is>
      </c>
      <c r="D8" s="16" t="inlineStr">
        <is>
          <t>Тип</t>
        </is>
      </c>
      <c r="E8" s="16" t="inlineStr">
        <is>
          <t>Начало</t>
        </is>
      </c>
      <c r="F8" s="16" t="inlineStr">
        <is>
          <t>Конец</t>
        </is>
      </c>
      <c r="G8" s="16" t="inlineStr">
        <is>
          <t>Обед (ч)</t>
        </is>
      </c>
      <c r="H8" s="16" t="inlineStr">
        <is>
          <t>Факт (ч)</t>
        </is>
      </c>
      <c r="I8" s="16" t="inlineStr">
        <is>
          <t>План (ч)</t>
        </is>
      </c>
      <c r="J8" s="16" t="inlineStr">
        <is>
          <t>Дельта (ч)</t>
        </is>
      </c>
      <c r="K8" s="16" t="inlineStr">
        <is>
          <t>Примечания / Задачи</t>
        </is>
      </c>
      <c r="M8" s="13" t="inlineStr">
        <is>
          <t>П</t>
        </is>
      </c>
      <c r="N8" s="14" t="n">
        <v>0</v>
      </c>
      <c r="O8" s="15" t="inlineStr">
        <is>
          <t>Праздничный день</t>
        </is>
      </c>
    </row>
    <row r="9">
      <c r="A9" s="17" t="n">
        <v>1</v>
      </c>
      <c r="B9" s="18">
        <f>IFERROR(IF(MONTH(DATE($B$5,$B$6,A9))=$B$6,DATE($B$5,$B$6,A9),""),"")</f>
        <v/>
      </c>
      <c r="C9" s="17">
        <f>IF(B9="","",CHOOSE(WEEKDAY(B9,2),"Пн","Вт","Ср","Чт","Пт","Сб","Вс"))</f>
        <v/>
      </c>
      <c r="D9" s="17">
        <f>IF(B9="","",IF(WEEKDAY(B9,2)&gt;=6,"В","Р"))</f>
        <v/>
      </c>
      <c r="E9" s="19" t="inlineStr">
        <is>
          <t>09:00</t>
        </is>
      </c>
      <c r="F9" s="19" t="inlineStr">
        <is>
          <t>18:00</t>
        </is>
      </c>
      <c r="G9" s="20">
        <f>IF(OR(E9="",B9=""),"",1.0)</f>
        <v/>
      </c>
      <c r="H9" s="21">
        <f>IF(OR(B9="",E9="",F9=""),0,ROUND(MAX(0,(F9-E9+(F9&lt;E9))*24-IF(G9="",0,G9)),2))</f>
        <v/>
      </c>
      <c r="I9" s="21">
        <f>IF(B9="","",IFERROR(VLOOKUP(D9,$M$5:$N$10,2,FALSE),0))</f>
        <v/>
      </c>
      <c r="J9" s="22">
        <f>IF(B9="","",IF(AND(E9="",F9="",D9="В"),0,H9-I9))</f>
        <v/>
      </c>
      <c r="K9" s="23" t="inlineStr">
        <is>
          <t>Старт спринта, стендап, ревью RTL Wally</t>
        </is>
      </c>
      <c r="M9" s="13" t="inlineStr">
        <is>
          <t>О</t>
        </is>
      </c>
      <c r="N9" s="14" t="n">
        <v>0</v>
      </c>
      <c r="O9" s="15" t="inlineStr">
        <is>
          <t>Отпуск</t>
        </is>
      </c>
    </row>
    <row r="10">
      <c r="A10" s="17" t="n">
        <v>2</v>
      </c>
      <c r="B10" s="18">
        <f>IFERROR(IF(MONTH(DATE($B$5,$B$6,A10))=$B$6,DATE($B$5,$B$6,A10),""),"")</f>
        <v/>
      </c>
      <c r="C10" s="17">
        <f>IF(B10="","",CHOOSE(WEEKDAY(B10,2),"Пн","Вт","Ср","Чт","Пт","Сб","Вс"))</f>
        <v/>
      </c>
      <c r="D10" s="17">
        <f>IF(B10="","",IF(WEEKDAY(B10,2)&gt;=6,"В","Р"))</f>
        <v/>
      </c>
      <c r="E10" s="19" t="inlineStr">
        <is>
          <t>09:30</t>
        </is>
      </c>
      <c r="F10" s="19" t="inlineStr">
        <is>
          <t>19:00</t>
        </is>
      </c>
      <c r="G10" s="20">
        <f>IF(OR(E10="",B10=""),"",1.0)</f>
        <v/>
      </c>
      <c r="H10" s="21">
        <f>IF(OR(B10="",E10="",F10=""),0,ROUND(MAX(0,(F10-E10+(F10&lt;E10))*24-IF(G10="",0,G10)),2))</f>
        <v/>
      </c>
      <c r="I10" s="21">
        <f>IF(B10="","",IFERROR(VLOOKUP(D10,$M$5:$N$10,2,FALSE),0))</f>
        <v/>
      </c>
      <c r="J10" s="22">
        <f>IF(B10="","",IF(AND(E10="",F10="",D10="В"),0,H10-I10))</f>
        <v/>
      </c>
      <c r="K10" s="23" t="inlineStr">
        <is>
          <t>Отладка AXI-интерфейса в ModelSim</t>
        </is>
      </c>
      <c r="M10" s="13" t="inlineStr">
        <is>
          <t>Б</t>
        </is>
      </c>
      <c r="N10" s="14" t="n">
        <v>0</v>
      </c>
      <c r="O10" s="15" t="inlineStr">
        <is>
          <t>Больничный</t>
        </is>
      </c>
    </row>
    <row r="11">
      <c r="A11" s="17" t="n">
        <v>3</v>
      </c>
      <c r="B11" s="18">
        <f>IFERROR(IF(MONTH(DATE($B$5,$B$6,A11))=$B$6,DATE($B$5,$B$6,A11),""),"")</f>
        <v/>
      </c>
      <c r="C11" s="17">
        <f>IF(B11="","",CHOOSE(WEEKDAY(B11,2),"Пн","Вт","Ср","Чт","Пт","Сб","Вс"))</f>
        <v/>
      </c>
      <c r="D11" s="17">
        <f>IF(B11="","",IF(WEEKDAY(B11,2)&gt;=6,"В","Р"))</f>
        <v/>
      </c>
      <c r="E11" s="19" t="n"/>
      <c r="F11" s="19" t="n"/>
      <c r="G11" s="20">
        <f>IF(OR(E11="",B11=""),"",1.0)</f>
        <v/>
      </c>
      <c r="H11" s="21">
        <f>IF(OR(B11="",E11="",F11=""),0,ROUND(MAX(0,(F11-E11+(F11&lt;E11))*24-IF(G11="",0,G11)),2))</f>
        <v/>
      </c>
      <c r="I11" s="21">
        <f>IF(B11="","",IFERROR(VLOOKUP(D11,$M$5:$N$10,2,FALSE),0))</f>
        <v/>
      </c>
      <c r="J11" s="22">
        <f>IF(B11="","",IF(AND(E11="",F11="",D11="В"),0,H11-I11))</f>
        <v/>
      </c>
      <c r="K11" s="23" t="n"/>
    </row>
    <row r="12">
      <c r="A12" s="17" t="n">
        <v>4</v>
      </c>
      <c r="B12" s="18">
        <f>IFERROR(IF(MONTH(DATE($B$5,$B$6,A12))=$B$6,DATE($B$5,$B$6,A12),""),"")</f>
        <v/>
      </c>
      <c r="C12" s="17">
        <f>IF(B12="","",CHOOSE(WEEKDAY(B12,2),"Пн","Вт","Ср","Чт","Пт","Сб","Вс"))</f>
        <v/>
      </c>
      <c r="D12" s="17">
        <f>IF(B12="","",IF(WEEKDAY(B12,2)&gt;=6,"В","Р"))</f>
        <v/>
      </c>
      <c r="E12" s="19" t="n"/>
      <c r="F12" s="19" t="n"/>
      <c r="G12" s="20">
        <f>IF(OR(E12="",B12=""),"",1.0)</f>
        <v/>
      </c>
      <c r="H12" s="21">
        <f>IF(OR(B12="",E12="",F12=""),0,ROUND(MAX(0,(F12-E12+(F12&lt;E12))*24-IF(G12="",0,G12)),2))</f>
        <v/>
      </c>
      <c r="I12" s="21">
        <f>IF(B12="","",IFERROR(VLOOKUP(D12,$M$5:$N$10,2,FALSE),0))</f>
        <v/>
      </c>
      <c r="J12" s="22">
        <f>IF(B12="","",IF(AND(E12="",F12="",D12="В"),0,H12-I12))</f>
        <v/>
      </c>
      <c r="K12" s="23" t="n"/>
    </row>
    <row r="13">
      <c r="A13" s="17" t="n">
        <v>5</v>
      </c>
      <c r="B13" s="18">
        <f>IFERROR(IF(MONTH(DATE($B$5,$B$6,A13))=$B$6,DATE($B$5,$B$6,A13),""),"")</f>
        <v/>
      </c>
      <c r="C13" s="17">
        <f>IF(B13="","",CHOOSE(WEEKDAY(B13,2),"Пн","Вт","Ср","Чт","Пт","Сб","Вс"))</f>
        <v/>
      </c>
      <c r="D13" s="17">
        <f>IF(B13="","",IF(WEEKDAY(B13,2)&gt;=6,"В","Р"))</f>
        <v/>
      </c>
      <c r="E13" s="19" t="n"/>
      <c r="F13" s="19" t="n"/>
      <c r="G13" s="20">
        <f>IF(OR(E13="",B13=""),"",1.0)</f>
        <v/>
      </c>
      <c r="H13" s="21">
        <f>IF(OR(B13="",E13="",F13=""),0,ROUND(MAX(0,(F13-E13+(F13&lt;E13))*24-IF(G13="",0,G13)),2))</f>
        <v/>
      </c>
      <c r="I13" s="21">
        <f>IF(B13="","",IFERROR(VLOOKUP(D13,$M$5:$N$10,2,FALSE),0))</f>
        <v/>
      </c>
      <c r="J13" s="22">
        <f>IF(B13="","",IF(AND(E13="",F13="",D13="В"),0,H13-I13))</f>
        <v/>
      </c>
      <c r="K13" s="23" t="n"/>
    </row>
    <row r="14">
      <c r="A14" s="17" t="n">
        <v>6</v>
      </c>
      <c r="B14" s="18">
        <f>IFERROR(IF(MONTH(DATE($B$5,$B$6,A14))=$B$6,DATE($B$5,$B$6,A14),""),"")</f>
        <v/>
      </c>
      <c r="C14" s="17">
        <f>IF(B14="","",CHOOSE(WEEKDAY(B14,2),"Пн","Вт","Ср","Чт","Пт","Сб","Вс"))</f>
        <v/>
      </c>
      <c r="D14" s="17">
        <f>IF(B14="","",IF(WEEKDAY(B14,2)&gt;=6,"В","Р"))</f>
        <v/>
      </c>
      <c r="E14" s="19" t="n"/>
      <c r="F14" s="19" t="n"/>
      <c r="G14" s="20">
        <f>IF(OR(E14="",B14=""),"",1.0)</f>
        <v/>
      </c>
      <c r="H14" s="21">
        <f>IF(OR(B14="",E14="",F14=""),0,ROUND(MAX(0,(F14-E14+(F14&lt;E14))*24-IF(G14="",0,G14)),2))</f>
        <v/>
      </c>
      <c r="I14" s="21">
        <f>IF(B14="","",IFERROR(VLOOKUP(D14,$M$5:$N$10,2,FALSE),0))</f>
        <v/>
      </c>
      <c r="J14" s="22">
        <f>IF(B14="","",IF(AND(E14="",F14="",D14="В"),0,H14-I14))</f>
        <v/>
      </c>
      <c r="K14" s="23" t="n"/>
    </row>
    <row r="15">
      <c r="A15" s="17" t="n">
        <v>7</v>
      </c>
      <c r="B15" s="18">
        <f>IFERROR(IF(MONTH(DATE($B$5,$B$6,A15))=$B$6,DATE($B$5,$B$6,A15),""),"")</f>
        <v/>
      </c>
      <c r="C15" s="17">
        <f>IF(B15="","",CHOOSE(WEEKDAY(B15,2),"Пн","Вт","Ср","Чт","Пт","Сб","Вс"))</f>
        <v/>
      </c>
      <c r="D15" s="17">
        <f>IF(B15="","",IF(WEEKDAY(B15,2)&gt;=6,"В","Р"))</f>
        <v/>
      </c>
      <c r="E15" s="19" t="n"/>
      <c r="F15" s="19" t="n"/>
      <c r="G15" s="20">
        <f>IF(OR(E15="",B15=""),"",1.0)</f>
        <v/>
      </c>
      <c r="H15" s="21">
        <f>IF(OR(B15="",E15="",F15=""),0,ROUND(MAX(0,(F15-E15+(F15&lt;E15))*24-IF(G15="",0,G15)),2))</f>
        <v/>
      </c>
      <c r="I15" s="21">
        <f>IF(B15="","",IFERROR(VLOOKUP(D15,$M$5:$N$10,2,FALSE),0))</f>
        <v/>
      </c>
      <c r="J15" s="22">
        <f>IF(B15="","",IF(AND(E15="",F15="",D15="В"),0,H15-I15))</f>
        <v/>
      </c>
      <c r="K15" s="23" t="n"/>
    </row>
    <row r="16">
      <c r="A16" s="17" t="n">
        <v>8</v>
      </c>
      <c r="B16" s="18">
        <f>IFERROR(IF(MONTH(DATE($B$5,$B$6,A16))=$B$6,DATE($B$5,$B$6,A16),""),"")</f>
        <v/>
      </c>
      <c r="C16" s="17">
        <f>IF(B16="","",CHOOSE(WEEKDAY(B16,2),"Пн","Вт","Ср","Чт","Пт","Сб","Вс"))</f>
        <v/>
      </c>
      <c r="D16" s="17">
        <f>IF(B16="","",IF(WEEKDAY(B16,2)&gt;=6,"В","Р"))</f>
        <v/>
      </c>
      <c r="E16" s="19" t="n"/>
      <c r="F16" s="19" t="n"/>
      <c r="G16" s="20">
        <f>IF(OR(E16="",B16=""),"",1.0)</f>
        <v/>
      </c>
      <c r="H16" s="21">
        <f>IF(OR(B16="",E16="",F16=""),0,ROUND(MAX(0,(F16-E16+(F16&lt;E16))*24-IF(G16="",0,G16)),2))</f>
        <v/>
      </c>
      <c r="I16" s="21">
        <f>IF(B16="","",IFERROR(VLOOKUP(D16,$M$5:$N$10,2,FALSE),0))</f>
        <v/>
      </c>
      <c r="J16" s="22">
        <f>IF(B16="","",IF(AND(E16="",F16="",D16="В"),0,H16-I16))</f>
        <v/>
      </c>
      <c r="K16" s="23" t="n"/>
    </row>
    <row r="17">
      <c r="A17" s="17" t="n">
        <v>9</v>
      </c>
      <c r="B17" s="18">
        <f>IFERROR(IF(MONTH(DATE($B$5,$B$6,A17))=$B$6,DATE($B$5,$B$6,A17),""),"")</f>
        <v/>
      </c>
      <c r="C17" s="17">
        <f>IF(B17="","",CHOOSE(WEEKDAY(B17,2),"Пн","Вт","Ср","Чт","Пт","Сб","Вс"))</f>
        <v/>
      </c>
      <c r="D17" s="17">
        <f>IF(B17="","",IF(WEEKDAY(B17,2)&gt;=6,"В","Р"))</f>
        <v/>
      </c>
      <c r="E17" s="19" t="n"/>
      <c r="F17" s="19" t="n"/>
      <c r="G17" s="20">
        <f>IF(OR(E17="",B17=""),"",1.0)</f>
        <v/>
      </c>
      <c r="H17" s="21">
        <f>IF(OR(B17="",E17="",F17=""),0,ROUND(MAX(0,(F17-E17+(F17&lt;E17))*24-IF(G17="",0,G17)),2))</f>
        <v/>
      </c>
      <c r="I17" s="21">
        <f>IF(B17="","",IFERROR(VLOOKUP(D17,$M$5:$N$10,2,FALSE),0))</f>
        <v/>
      </c>
      <c r="J17" s="22">
        <f>IF(B17="","",IF(AND(E17="",F17="",D17="В"),0,H17-I17))</f>
        <v/>
      </c>
      <c r="K17" s="23" t="n"/>
    </row>
    <row r="18">
      <c r="A18" s="17" t="n">
        <v>10</v>
      </c>
      <c r="B18" s="18">
        <f>IFERROR(IF(MONTH(DATE($B$5,$B$6,A18))=$B$6,DATE($B$5,$B$6,A18),""),"")</f>
        <v/>
      </c>
      <c r="C18" s="17">
        <f>IF(B18="","",CHOOSE(WEEKDAY(B18,2),"Пн","Вт","Ср","Чт","Пт","Сб","Вс"))</f>
        <v/>
      </c>
      <c r="D18" s="17">
        <f>IF(B18="","",IF(WEEKDAY(B18,2)&gt;=6,"В","Р"))</f>
        <v/>
      </c>
      <c r="E18" s="19" t="n"/>
      <c r="F18" s="19" t="n"/>
      <c r="G18" s="20">
        <f>IF(OR(E18="",B18=""),"",1.0)</f>
        <v/>
      </c>
      <c r="H18" s="21">
        <f>IF(OR(B18="",E18="",F18=""),0,ROUND(MAX(0,(F18-E18+(F18&lt;E18))*24-IF(G18="",0,G18)),2))</f>
        <v/>
      </c>
      <c r="I18" s="21">
        <f>IF(B18="","",IFERROR(VLOOKUP(D18,$M$5:$N$10,2,FALSE),0))</f>
        <v/>
      </c>
      <c r="J18" s="22">
        <f>IF(B18="","",IF(AND(E18="",F18="",D18="В"),0,H18-I18))</f>
        <v/>
      </c>
      <c r="K18" s="23" t="n"/>
    </row>
    <row r="19">
      <c r="A19" s="17" t="n">
        <v>11</v>
      </c>
      <c r="B19" s="18">
        <f>IFERROR(IF(MONTH(DATE($B$5,$B$6,A19))=$B$6,DATE($B$5,$B$6,A19),""),"")</f>
        <v/>
      </c>
      <c r="C19" s="17">
        <f>IF(B19="","",CHOOSE(WEEKDAY(B19,2),"Пн","Вт","Ср","Чт","Пт","Сб","Вс"))</f>
        <v/>
      </c>
      <c r="D19" s="17">
        <f>IF(B19="","",IF(WEEKDAY(B19,2)&gt;=6,"В","Р"))</f>
        <v/>
      </c>
      <c r="E19" s="19" t="n"/>
      <c r="F19" s="19" t="n"/>
      <c r="G19" s="20">
        <f>IF(OR(E19="",B19=""),"",1.0)</f>
        <v/>
      </c>
      <c r="H19" s="21">
        <f>IF(OR(B19="",E19="",F19=""),0,ROUND(MAX(0,(F19-E19+(F19&lt;E19))*24-IF(G19="",0,G19)),2))</f>
        <v/>
      </c>
      <c r="I19" s="21">
        <f>IF(B19="","",IFERROR(VLOOKUP(D19,$M$5:$N$10,2,FALSE),0))</f>
        <v/>
      </c>
      <c r="J19" s="22">
        <f>IF(B19="","",IF(AND(E19="",F19="",D19="В"),0,H19-I19))</f>
        <v/>
      </c>
      <c r="K19" s="23" t="n"/>
    </row>
    <row r="20">
      <c r="A20" s="17" t="n">
        <v>12</v>
      </c>
      <c r="B20" s="18">
        <f>IFERROR(IF(MONTH(DATE($B$5,$B$6,A20))=$B$6,DATE($B$5,$B$6,A20),""),"")</f>
        <v/>
      </c>
      <c r="C20" s="17">
        <f>IF(B20="","",CHOOSE(WEEKDAY(B20,2),"Пн","Вт","Ср","Чт","Пт","Сб","Вс"))</f>
        <v/>
      </c>
      <c r="D20" s="17">
        <f>IF(B20="","",IF(WEEKDAY(B20,2)&gt;=6,"В","Р"))</f>
        <v/>
      </c>
      <c r="E20" s="19" t="n"/>
      <c r="F20" s="19" t="n"/>
      <c r="G20" s="20">
        <f>IF(OR(E20="",B20=""),"",1.0)</f>
        <v/>
      </c>
      <c r="H20" s="21">
        <f>IF(OR(B20="",E20="",F20=""),0,ROUND(MAX(0,(F20-E20+(F20&lt;E20))*24-IF(G20="",0,G20)),2))</f>
        <v/>
      </c>
      <c r="I20" s="21">
        <f>IF(B20="","",IFERROR(VLOOKUP(D20,$M$5:$N$10,2,FALSE),0))</f>
        <v/>
      </c>
      <c r="J20" s="22">
        <f>IF(B20="","",IF(AND(E20="",F20="",D20="В"),0,H20-I20))</f>
        <v/>
      </c>
      <c r="K20" s="23" t="n"/>
    </row>
    <row r="21">
      <c r="A21" s="17" t="n">
        <v>13</v>
      </c>
      <c r="B21" s="18">
        <f>IFERROR(IF(MONTH(DATE($B$5,$B$6,A21))=$B$6,DATE($B$5,$B$6,A21),""),"")</f>
        <v/>
      </c>
      <c r="C21" s="17">
        <f>IF(B21="","",CHOOSE(WEEKDAY(B21,2),"Пн","Вт","Ср","Чт","Пт","Сб","Вс"))</f>
        <v/>
      </c>
      <c r="D21" s="17">
        <f>IF(B21="","",IF(WEEKDAY(B21,2)&gt;=6,"В","Р"))</f>
        <v/>
      </c>
      <c r="E21" s="19" t="n"/>
      <c r="F21" s="19" t="n"/>
      <c r="G21" s="20">
        <f>IF(OR(E21="",B21=""),"",1.0)</f>
        <v/>
      </c>
      <c r="H21" s="21">
        <f>IF(OR(B21="",E21="",F21=""),0,ROUND(MAX(0,(F21-E21+(F21&lt;E21))*24-IF(G21="",0,G21)),2))</f>
        <v/>
      </c>
      <c r="I21" s="21">
        <f>IF(B21="","",IFERROR(VLOOKUP(D21,$M$5:$N$10,2,FALSE),0))</f>
        <v/>
      </c>
      <c r="J21" s="22">
        <f>IF(B21="","",IF(AND(E21="",F21="",D21="В"),0,H21-I21))</f>
        <v/>
      </c>
      <c r="K21" s="23" t="n"/>
    </row>
    <row r="22">
      <c r="A22" s="17" t="n">
        <v>14</v>
      </c>
      <c r="B22" s="18">
        <f>IFERROR(IF(MONTH(DATE($B$5,$B$6,A22))=$B$6,DATE($B$5,$B$6,A22),""),"")</f>
        <v/>
      </c>
      <c r="C22" s="17">
        <f>IF(B22="","",CHOOSE(WEEKDAY(B22,2),"Пн","Вт","Ср","Чт","Пт","Сб","Вс"))</f>
        <v/>
      </c>
      <c r="D22" s="17">
        <f>IF(B22="","",IF(WEEKDAY(B22,2)&gt;=6,"В","Р"))</f>
        <v/>
      </c>
      <c r="E22" s="19" t="n"/>
      <c r="F22" s="19" t="n"/>
      <c r="G22" s="20">
        <f>IF(OR(E22="",B22=""),"",1.0)</f>
        <v/>
      </c>
      <c r="H22" s="21">
        <f>IF(OR(B22="",E22="",F22=""),0,ROUND(MAX(0,(F22-E22+(F22&lt;E22))*24-IF(G22="",0,G22)),2))</f>
        <v/>
      </c>
      <c r="I22" s="21">
        <f>IF(B22="","",IFERROR(VLOOKUP(D22,$M$5:$N$10,2,FALSE),0))</f>
        <v/>
      </c>
      <c r="J22" s="22">
        <f>IF(B22="","",IF(AND(E22="",F22="",D22="В"),0,H22-I22))</f>
        <v/>
      </c>
      <c r="K22" s="23" t="n"/>
    </row>
    <row r="23">
      <c r="A23" s="17" t="n">
        <v>15</v>
      </c>
      <c r="B23" s="18">
        <f>IFERROR(IF(MONTH(DATE($B$5,$B$6,A23))=$B$6,DATE($B$5,$B$6,A23),""),"")</f>
        <v/>
      </c>
      <c r="C23" s="17">
        <f>IF(B23="","",CHOOSE(WEEKDAY(B23,2),"Пн","Вт","Ср","Чт","Пт","Сб","Вс"))</f>
        <v/>
      </c>
      <c r="D23" s="17">
        <f>IF(B23="","",IF(WEEKDAY(B23,2)&gt;=6,"В","Р"))</f>
        <v/>
      </c>
      <c r="E23" s="19" t="n"/>
      <c r="F23" s="19" t="n"/>
      <c r="G23" s="20">
        <f>IF(OR(E23="",B23=""),"",1.0)</f>
        <v/>
      </c>
      <c r="H23" s="21">
        <f>IF(OR(B23="",E23="",F23=""),0,ROUND(MAX(0,(F23-E23+(F23&lt;E23))*24-IF(G23="",0,G23)),2))</f>
        <v/>
      </c>
      <c r="I23" s="21">
        <f>IF(B23="","",IFERROR(VLOOKUP(D23,$M$5:$N$10,2,FALSE),0))</f>
        <v/>
      </c>
      <c r="J23" s="22">
        <f>IF(B23="","",IF(AND(E23="",F23="",D23="В"),0,H23-I23))</f>
        <v/>
      </c>
      <c r="K23" s="23" t="n"/>
    </row>
    <row r="24">
      <c r="A24" s="17" t="n">
        <v>16</v>
      </c>
      <c r="B24" s="18">
        <f>IFERROR(IF(MONTH(DATE($B$5,$B$6,A24))=$B$6,DATE($B$5,$B$6,A24),""),"")</f>
        <v/>
      </c>
      <c r="C24" s="17">
        <f>IF(B24="","",CHOOSE(WEEKDAY(B24,2),"Пн","Вт","Ср","Чт","Пт","Сб","Вс"))</f>
        <v/>
      </c>
      <c r="D24" s="17">
        <f>IF(B24="","",IF(WEEKDAY(B24,2)&gt;=6,"В","Р"))</f>
        <v/>
      </c>
      <c r="E24" s="19" t="n"/>
      <c r="F24" s="19" t="n"/>
      <c r="G24" s="20">
        <f>IF(OR(E24="",B24=""),"",1.0)</f>
        <v/>
      </c>
      <c r="H24" s="21">
        <f>IF(OR(B24="",E24="",F24=""),0,ROUND(MAX(0,(F24-E24+(F24&lt;E24))*24-IF(G24="",0,G24)),2))</f>
        <v/>
      </c>
      <c r="I24" s="21">
        <f>IF(B24="","",IFERROR(VLOOKUP(D24,$M$5:$N$10,2,FALSE),0))</f>
        <v/>
      </c>
      <c r="J24" s="22">
        <f>IF(B24="","",IF(AND(E24="",F24="",D24="В"),0,H24-I24))</f>
        <v/>
      </c>
      <c r="K24" s="23" t="n"/>
    </row>
    <row r="25">
      <c r="A25" s="17" t="n">
        <v>17</v>
      </c>
      <c r="B25" s="18">
        <f>IFERROR(IF(MONTH(DATE($B$5,$B$6,A25))=$B$6,DATE($B$5,$B$6,A25),""),"")</f>
        <v/>
      </c>
      <c r="C25" s="17">
        <f>IF(B25="","",CHOOSE(WEEKDAY(B25,2),"Пн","Вт","Ср","Чт","Пт","Сб","Вс"))</f>
        <v/>
      </c>
      <c r="D25" s="17">
        <f>IF(B25="","",IF(WEEKDAY(B25,2)&gt;=6,"В","Р"))</f>
        <v/>
      </c>
      <c r="E25" s="19" t="n"/>
      <c r="F25" s="19" t="n"/>
      <c r="G25" s="20">
        <f>IF(OR(E25="",B25=""),"",1.0)</f>
        <v/>
      </c>
      <c r="H25" s="21">
        <f>IF(OR(B25="",E25="",F25=""),0,ROUND(MAX(0,(F25-E25+(F25&lt;E25))*24-IF(G25="",0,G25)),2))</f>
        <v/>
      </c>
      <c r="I25" s="21">
        <f>IF(B25="","",IFERROR(VLOOKUP(D25,$M$5:$N$10,2,FALSE),0))</f>
        <v/>
      </c>
      <c r="J25" s="22">
        <f>IF(B25="","",IF(AND(E25="",F25="",D25="В"),0,H25-I25))</f>
        <v/>
      </c>
      <c r="K25" s="23" t="n"/>
    </row>
    <row r="26">
      <c r="A26" s="17" t="n">
        <v>18</v>
      </c>
      <c r="B26" s="18">
        <f>IFERROR(IF(MONTH(DATE($B$5,$B$6,A26))=$B$6,DATE($B$5,$B$6,A26),""),"")</f>
        <v/>
      </c>
      <c r="C26" s="17">
        <f>IF(B26="","",CHOOSE(WEEKDAY(B26,2),"Пн","Вт","Ср","Чт","Пт","Сб","Вс"))</f>
        <v/>
      </c>
      <c r="D26" s="17">
        <f>IF(B26="","",IF(WEEKDAY(B26,2)&gt;=6,"В","Р"))</f>
        <v/>
      </c>
      <c r="E26" s="19" t="n"/>
      <c r="F26" s="19" t="n"/>
      <c r="G26" s="20">
        <f>IF(OR(E26="",B26=""),"",1.0)</f>
        <v/>
      </c>
      <c r="H26" s="21">
        <f>IF(OR(B26="",E26="",F26=""),0,ROUND(MAX(0,(F26-E26+(F26&lt;E26))*24-IF(G26="",0,G26)),2))</f>
        <v/>
      </c>
      <c r="I26" s="21">
        <f>IF(B26="","",IFERROR(VLOOKUP(D26,$M$5:$N$10,2,FALSE),0))</f>
        <v/>
      </c>
      <c r="J26" s="22">
        <f>IF(B26="","",IF(AND(E26="",F26="",D26="В"),0,H26-I26))</f>
        <v/>
      </c>
      <c r="K26" s="23" t="n"/>
    </row>
    <row r="27">
      <c r="A27" s="17" t="n">
        <v>19</v>
      </c>
      <c r="B27" s="18">
        <f>IFERROR(IF(MONTH(DATE($B$5,$B$6,A27))=$B$6,DATE($B$5,$B$6,A27),""),"")</f>
        <v/>
      </c>
      <c r="C27" s="17">
        <f>IF(B27="","",CHOOSE(WEEKDAY(B27,2),"Пн","Вт","Ср","Чт","Пт","Сб","Вс"))</f>
        <v/>
      </c>
      <c r="D27" s="17">
        <f>IF(B27="","",IF(WEEKDAY(B27,2)&gt;=6,"В","Р"))</f>
        <v/>
      </c>
      <c r="E27" s="19" t="n"/>
      <c r="F27" s="19" t="n"/>
      <c r="G27" s="20">
        <f>IF(OR(E27="",B27=""),"",1.0)</f>
        <v/>
      </c>
      <c r="H27" s="21">
        <f>IF(OR(B27="",E27="",F27=""),0,ROUND(MAX(0,(F27-E27+(F27&lt;E27))*24-IF(G27="",0,G27)),2))</f>
        <v/>
      </c>
      <c r="I27" s="21">
        <f>IF(B27="","",IFERROR(VLOOKUP(D27,$M$5:$N$10,2,FALSE),0))</f>
        <v/>
      </c>
      <c r="J27" s="22">
        <f>IF(B27="","",IF(AND(E27="",F27="",D27="В"),0,H27-I27))</f>
        <v/>
      </c>
      <c r="K27" s="23" t="n"/>
    </row>
    <row r="28">
      <c r="A28" s="17" t="n">
        <v>20</v>
      </c>
      <c r="B28" s="18">
        <f>IFERROR(IF(MONTH(DATE($B$5,$B$6,A28))=$B$6,DATE($B$5,$B$6,A28),""),"")</f>
        <v/>
      </c>
      <c r="C28" s="17">
        <f>IF(B28="","",CHOOSE(WEEKDAY(B28,2),"Пн","Вт","Ср","Чт","Пт","Сб","Вс"))</f>
        <v/>
      </c>
      <c r="D28" s="17">
        <f>IF(B28="","",IF(WEEKDAY(B28,2)&gt;=6,"В","Р"))</f>
        <v/>
      </c>
      <c r="E28" s="19" t="n"/>
      <c r="F28" s="19" t="n"/>
      <c r="G28" s="20">
        <f>IF(OR(E28="",B28=""),"",1.0)</f>
        <v/>
      </c>
      <c r="H28" s="21">
        <f>IF(OR(B28="",E28="",F28=""),0,ROUND(MAX(0,(F28-E28+(F28&lt;E28))*24-IF(G28="",0,G28)),2))</f>
        <v/>
      </c>
      <c r="I28" s="21">
        <f>IF(B28="","",IFERROR(VLOOKUP(D28,$M$5:$N$10,2,FALSE),0))</f>
        <v/>
      </c>
      <c r="J28" s="22">
        <f>IF(B28="","",IF(AND(E28="",F28="",D28="В"),0,H28-I28))</f>
        <v/>
      </c>
      <c r="K28" s="23" t="n"/>
    </row>
    <row r="29">
      <c r="A29" s="17" t="n">
        <v>21</v>
      </c>
      <c r="B29" s="18">
        <f>IFERROR(IF(MONTH(DATE($B$5,$B$6,A29))=$B$6,DATE($B$5,$B$6,A29),""),"")</f>
        <v/>
      </c>
      <c r="C29" s="17">
        <f>IF(B29="","",CHOOSE(WEEKDAY(B29,2),"Пн","Вт","Ср","Чт","Пт","Сб","Вс"))</f>
        <v/>
      </c>
      <c r="D29" s="17">
        <f>IF(B29="","",IF(WEEKDAY(B29,2)&gt;=6,"В","Р"))</f>
        <v/>
      </c>
      <c r="E29" s="19" t="n"/>
      <c r="F29" s="19" t="n"/>
      <c r="G29" s="20">
        <f>IF(OR(E29="",B29=""),"",1.0)</f>
        <v/>
      </c>
      <c r="H29" s="21">
        <f>IF(OR(B29="",E29="",F29=""),0,ROUND(MAX(0,(F29-E29+(F29&lt;E29))*24-IF(G29="",0,G29)),2))</f>
        <v/>
      </c>
      <c r="I29" s="21">
        <f>IF(B29="","",IFERROR(VLOOKUP(D29,$M$5:$N$10,2,FALSE),0))</f>
        <v/>
      </c>
      <c r="J29" s="22">
        <f>IF(B29="","",IF(AND(E29="",F29="",D29="В"),0,H29-I29))</f>
        <v/>
      </c>
      <c r="K29" s="23" t="n"/>
    </row>
    <row r="30">
      <c r="A30" s="17" t="n">
        <v>22</v>
      </c>
      <c r="B30" s="18">
        <f>IFERROR(IF(MONTH(DATE($B$5,$B$6,A30))=$B$6,DATE($B$5,$B$6,A30),""),"")</f>
        <v/>
      </c>
      <c r="C30" s="17">
        <f>IF(B30="","",CHOOSE(WEEKDAY(B30,2),"Пн","Вт","Ср","Чт","Пт","Сб","Вс"))</f>
        <v/>
      </c>
      <c r="D30" s="17">
        <f>IF(B30="","",IF(WEEKDAY(B30,2)&gt;=6,"В","Р"))</f>
        <v/>
      </c>
      <c r="E30" s="19" t="n"/>
      <c r="F30" s="19" t="n"/>
      <c r="G30" s="20">
        <f>IF(OR(E30="",B30=""),"",1.0)</f>
        <v/>
      </c>
      <c r="H30" s="21">
        <f>IF(OR(B30="",E30="",F30=""),0,ROUND(MAX(0,(F30-E30+(F30&lt;E30))*24-IF(G30="",0,G30)),2))</f>
        <v/>
      </c>
      <c r="I30" s="21">
        <f>IF(B30="","",IFERROR(VLOOKUP(D30,$M$5:$N$10,2,FALSE),0))</f>
        <v/>
      </c>
      <c r="J30" s="22">
        <f>IF(B30="","",IF(AND(E30="",F30="",D30="В"),0,H30-I30))</f>
        <v/>
      </c>
      <c r="K30" s="23" t="n"/>
    </row>
    <row r="31">
      <c r="A31" s="17" t="n">
        <v>23</v>
      </c>
      <c r="B31" s="18">
        <f>IFERROR(IF(MONTH(DATE($B$5,$B$6,A31))=$B$6,DATE($B$5,$B$6,A31),""),"")</f>
        <v/>
      </c>
      <c r="C31" s="17">
        <f>IF(B31="","",CHOOSE(WEEKDAY(B31,2),"Пн","Вт","Ср","Чт","Пт","Сб","Вс"))</f>
        <v/>
      </c>
      <c r="D31" s="17">
        <f>IF(B31="","",IF(WEEKDAY(B31,2)&gt;=6,"В","Р"))</f>
        <v/>
      </c>
      <c r="E31" s="19" t="n"/>
      <c r="F31" s="19" t="n"/>
      <c r="G31" s="20">
        <f>IF(OR(E31="",B31=""),"",1.0)</f>
        <v/>
      </c>
      <c r="H31" s="21">
        <f>IF(OR(B31="",E31="",F31=""),0,ROUND(MAX(0,(F31-E31+(F31&lt;E31))*24-IF(G31="",0,G31)),2))</f>
        <v/>
      </c>
      <c r="I31" s="21">
        <f>IF(B31="","",IFERROR(VLOOKUP(D31,$M$5:$N$10,2,FALSE),0))</f>
        <v/>
      </c>
      <c r="J31" s="22">
        <f>IF(B31="","",IF(AND(E31="",F31="",D31="В"),0,H31-I31))</f>
        <v/>
      </c>
      <c r="K31" s="23" t="n"/>
    </row>
    <row r="32">
      <c r="A32" s="17" t="n">
        <v>24</v>
      </c>
      <c r="B32" s="18">
        <f>IFERROR(IF(MONTH(DATE($B$5,$B$6,A32))=$B$6,DATE($B$5,$B$6,A32),""),"")</f>
        <v/>
      </c>
      <c r="C32" s="17">
        <f>IF(B32="","",CHOOSE(WEEKDAY(B32,2),"Пн","Вт","Ср","Чт","Пт","Сб","Вс"))</f>
        <v/>
      </c>
      <c r="D32" s="17">
        <f>IF(B32="","",IF(WEEKDAY(B32,2)&gt;=6,"В","Р"))</f>
        <v/>
      </c>
      <c r="E32" s="19" t="n"/>
      <c r="F32" s="19" t="n"/>
      <c r="G32" s="20">
        <f>IF(OR(E32="",B32=""),"",1.0)</f>
        <v/>
      </c>
      <c r="H32" s="21">
        <f>IF(OR(B32="",E32="",F32=""),0,ROUND(MAX(0,(F32-E32+(F32&lt;E32))*24-IF(G32="",0,G32)),2))</f>
        <v/>
      </c>
      <c r="I32" s="21">
        <f>IF(B32="","",IFERROR(VLOOKUP(D32,$M$5:$N$10,2,FALSE),0))</f>
        <v/>
      </c>
      <c r="J32" s="22">
        <f>IF(B32="","",IF(AND(E32="",F32="",D32="В"),0,H32-I32))</f>
        <v/>
      </c>
      <c r="K32" s="23" t="n"/>
    </row>
    <row r="33">
      <c r="A33" s="17" t="n">
        <v>25</v>
      </c>
      <c r="B33" s="18">
        <f>IFERROR(IF(MONTH(DATE($B$5,$B$6,A33))=$B$6,DATE($B$5,$B$6,A33),""),"")</f>
        <v/>
      </c>
      <c r="C33" s="17">
        <f>IF(B33="","",CHOOSE(WEEKDAY(B33,2),"Пн","Вт","Ср","Чт","Пт","Сб","Вс"))</f>
        <v/>
      </c>
      <c r="D33" s="17">
        <f>IF(B33="","",IF(WEEKDAY(B33,2)&gt;=6,"В","Р"))</f>
        <v/>
      </c>
      <c r="E33" s="19" t="n"/>
      <c r="F33" s="19" t="n"/>
      <c r="G33" s="20">
        <f>IF(OR(E33="",B33=""),"",1.0)</f>
        <v/>
      </c>
      <c r="H33" s="21">
        <f>IF(OR(B33="",E33="",F33=""),0,ROUND(MAX(0,(F33-E33+(F33&lt;E33))*24-IF(G33="",0,G33)),2))</f>
        <v/>
      </c>
      <c r="I33" s="21">
        <f>IF(B33="","",IFERROR(VLOOKUP(D33,$M$5:$N$10,2,FALSE),0))</f>
        <v/>
      </c>
      <c r="J33" s="22">
        <f>IF(B33="","",IF(AND(E33="",F33="",D33="В"),0,H33-I33))</f>
        <v/>
      </c>
      <c r="K33" s="23" t="n"/>
    </row>
    <row r="34">
      <c r="A34" s="17" t="n">
        <v>26</v>
      </c>
      <c r="B34" s="18">
        <f>IFERROR(IF(MONTH(DATE($B$5,$B$6,A34))=$B$6,DATE($B$5,$B$6,A34),""),"")</f>
        <v/>
      </c>
      <c r="C34" s="17">
        <f>IF(B34="","",CHOOSE(WEEKDAY(B34,2),"Пн","Вт","Ср","Чт","Пт","Сб","Вс"))</f>
        <v/>
      </c>
      <c r="D34" s="17">
        <f>IF(B34="","",IF(WEEKDAY(B34,2)&gt;=6,"В","Р"))</f>
        <v/>
      </c>
      <c r="E34" s="19" t="n"/>
      <c r="F34" s="19" t="n"/>
      <c r="G34" s="20">
        <f>IF(OR(E34="",B34=""),"",1.0)</f>
        <v/>
      </c>
      <c r="H34" s="21">
        <f>IF(OR(B34="",E34="",F34=""),0,ROUND(MAX(0,(F34-E34+(F34&lt;E34))*24-IF(G34="",0,G34)),2))</f>
        <v/>
      </c>
      <c r="I34" s="21">
        <f>IF(B34="","",IFERROR(VLOOKUP(D34,$M$5:$N$10,2,FALSE),0))</f>
        <v/>
      </c>
      <c r="J34" s="22">
        <f>IF(B34="","",IF(AND(E34="",F34="",D34="В"),0,H34-I34))</f>
        <v/>
      </c>
      <c r="K34" s="23" t="n"/>
    </row>
    <row r="35">
      <c r="A35" s="17" t="n">
        <v>27</v>
      </c>
      <c r="B35" s="18">
        <f>IFERROR(IF(MONTH(DATE($B$5,$B$6,A35))=$B$6,DATE($B$5,$B$6,A35),""),"")</f>
        <v/>
      </c>
      <c r="C35" s="17">
        <f>IF(B35="","",CHOOSE(WEEKDAY(B35,2),"Пн","Вт","Ср","Чт","Пт","Сб","Вс"))</f>
        <v/>
      </c>
      <c r="D35" s="17">
        <f>IF(B35="","",IF(WEEKDAY(B35,2)&gt;=6,"В","Р"))</f>
        <v/>
      </c>
      <c r="E35" s="19" t="n"/>
      <c r="F35" s="19" t="n"/>
      <c r="G35" s="20">
        <f>IF(OR(E35="",B35=""),"",1.0)</f>
        <v/>
      </c>
      <c r="H35" s="21">
        <f>IF(OR(B35="",E35="",F35=""),0,ROUND(MAX(0,(F35-E35+(F35&lt;E35))*24-IF(G35="",0,G35)),2))</f>
        <v/>
      </c>
      <c r="I35" s="21">
        <f>IF(B35="","",IFERROR(VLOOKUP(D35,$M$5:$N$10,2,FALSE),0))</f>
        <v/>
      </c>
      <c r="J35" s="22">
        <f>IF(B35="","",IF(AND(E35="",F35="",D35="В"),0,H35-I35))</f>
        <v/>
      </c>
      <c r="K35" s="23" t="n"/>
    </row>
    <row r="36">
      <c r="A36" s="17" t="n">
        <v>28</v>
      </c>
      <c r="B36" s="18">
        <f>IFERROR(IF(MONTH(DATE($B$5,$B$6,A36))=$B$6,DATE($B$5,$B$6,A36),""),"")</f>
        <v/>
      </c>
      <c r="C36" s="17">
        <f>IF(B36="","",CHOOSE(WEEKDAY(B36,2),"Пн","Вт","Ср","Чт","Пт","Сб","Вс"))</f>
        <v/>
      </c>
      <c r="D36" s="17">
        <f>IF(B36="","",IF(WEEKDAY(B36,2)&gt;=6,"В","Р"))</f>
        <v/>
      </c>
      <c r="E36" s="19" t="n"/>
      <c r="F36" s="19" t="n"/>
      <c r="G36" s="20">
        <f>IF(OR(E36="",B36=""),"",1.0)</f>
        <v/>
      </c>
      <c r="H36" s="21">
        <f>IF(OR(B36="",E36="",F36=""),0,ROUND(MAX(0,(F36-E36+(F36&lt;E36))*24-IF(G36="",0,G36)),2))</f>
        <v/>
      </c>
      <c r="I36" s="21">
        <f>IF(B36="","",IFERROR(VLOOKUP(D36,$M$5:$N$10,2,FALSE),0))</f>
        <v/>
      </c>
      <c r="J36" s="22">
        <f>IF(B36="","",IF(AND(E36="",F36="",D36="В"),0,H36-I36))</f>
        <v/>
      </c>
      <c r="K36" s="23" t="n"/>
    </row>
    <row r="37">
      <c r="A37" s="17" t="n">
        <v>29</v>
      </c>
      <c r="B37" s="18">
        <f>IFERROR(IF(MONTH(DATE($B$5,$B$6,A37))=$B$6,DATE($B$5,$B$6,A37),""),"")</f>
        <v/>
      </c>
      <c r="C37" s="17">
        <f>IF(B37="","",CHOOSE(WEEKDAY(B37,2),"Пн","Вт","Ср","Чт","Пт","Сб","Вс"))</f>
        <v/>
      </c>
      <c r="D37" s="17">
        <f>IF(B37="","",IF(WEEKDAY(B37,2)&gt;=6,"В","Р"))</f>
        <v/>
      </c>
      <c r="E37" s="19" t="n"/>
      <c r="F37" s="19" t="n"/>
      <c r="G37" s="20">
        <f>IF(OR(E37="",B37=""),"",1.0)</f>
        <v/>
      </c>
      <c r="H37" s="21">
        <f>IF(OR(B37="",E37="",F37=""),0,ROUND(MAX(0,(F37-E37+(F37&lt;E37))*24-IF(G37="",0,G37)),2))</f>
        <v/>
      </c>
      <c r="I37" s="21">
        <f>IF(B37="","",IFERROR(VLOOKUP(D37,$M$5:$N$10,2,FALSE),0))</f>
        <v/>
      </c>
      <c r="J37" s="22">
        <f>IF(B37="","",IF(AND(E37="",F37="",D37="В"),0,H37-I37))</f>
        <v/>
      </c>
      <c r="K37" s="23" t="n"/>
    </row>
    <row r="38">
      <c r="A38" s="17" t="n">
        <v>30</v>
      </c>
      <c r="B38" s="18">
        <f>IFERROR(IF(MONTH(DATE($B$5,$B$6,A38))=$B$6,DATE($B$5,$B$6,A38),""),"")</f>
        <v/>
      </c>
      <c r="C38" s="17">
        <f>IF(B38="","",CHOOSE(WEEKDAY(B38,2),"Пн","Вт","Ср","Чт","Пт","Сб","Вс"))</f>
        <v/>
      </c>
      <c r="D38" s="17">
        <f>IF(B38="","",IF(WEEKDAY(B38,2)&gt;=6,"В","Р"))</f>
        <v/>
      </c>
      <c r="E38" s="19" t="n"/>
      <c r="F38" s="19" t="n"/>
      <c r="G38" s="20">
        <f>IF(OR(E38="",B38=""),"",1.0)</f>
        <v/>
      </c>
      <c r="H38" s="21">
        <f>IF(OR(B38="",E38="",F38=""),0,ROUND(MAX(0,(F38-E38+(F38&lt;E38))*24-IF(G38="",0,G38)),2))</f>
        <v/>
      </c>
      <c r="I38" s="21">
        <f>IF(B38="","",IFERROR(VLOOKUP(D38,$M$5:$N$10,2,FALSE),0))</f>
        <v/>
      </c>
      <c r="J38" s="22">
        <f>IF(B38="","",IF(AND(E38="",F38="",D38="В"),0,H38-I38))</f>
        <v/>
      </c>
      <c r="K38" s="23" t="n"/>
    </row>
    <row r="39">
      <c r="A39" s="17" t="n">
        <v>31</v>
      </c>
      <c r="B39" s="18">
        <f>IFERROR(IF(MONTH(DATE($B$5,$B$6,A39))=$B$6,DATE($B$5,$B$6,A39),""),"")</f>
        <v/>
      </c>
      <c r="C39" s="17">
        <f>IF(B39="","",CHOOSE(WEEKDAY(B39,2),"Пн","Вт","Ср","Чт","Пт","Сб","Вс"))</f>
        <v/>
      </c>
      <c r="D39" s="17">
        <f>IF(B39="","",IF(WEEKDAY(B39,2)&gt;=6,"В","Р"))</f>
        <v/>
      </c>
      <c r="E39" s="19" t="n"/>
      <c r="F39" s="19" t="n"/>
      <c r="G39" s="20">
        <f>IF(OR(E39="",B39=""),"",1.0)</f>
        <v/>
      </c>
      <c r="H39" s="21">
        <f>IF(OR(B39="",E39="",F39=""),0,ROUND(MAX(0,(F39-E39+(F39&lt;E39))*24-IF(G39="",0,G39)),2))</f>
        <v/>
      </c>
      <c r="I39" s="21">
        <f>IF(B39="","",IFERROR(VLOOKUP(D39,$M$5:$N$10,2,FALSE),0))</f>
        <v/>
      </c>
      <c r="J39" s="22">
        <f>IF(B39="","",IF(AND(E39="",F39="",D39="В"),0,H39-I39))</f>
        <v/>
      </c>
      <c r="K39" s="23" t="n"/>
    </row>
    <row r="40">
      <c r="A40" s="24" t="inlineStr">
        <is>
          <t>ИТОГО ЗА МЕСЯЦ:</t>
        </is>
      </c>
      <c r="B40" s="25" t="n"/>
      <c r="C40" s="25" t="n"/>
      <c r="D40" s="25" t="n"/>
      <c r="E40" s="25" t="n"/>
      <c r="F40" s="25" t="n"/>
      <c r="G40" s="25" t="n"/>
      <c r="H40" s="26">
        <f>SUM(H9:H39)</f>
        <v/>
      </c>
      <c r="I40" s="26">
        <f>SUM(I9:I39)</f>
        <v/>
      </c>
      <c r="J40" s="27">
        <f>H40-I40</f>
        <v/>
      </c>
      <c r="K40" s="28" t="inlineStr"/>
    </row>
  </sheetData>
  <mergeCells count="10">
    <mergeCell ref="G4:H4"/>
    <mergeCell ref="E4:F4"/>
    <mergeCell ref="I4:J4"/>
    <mergeCell ref="A40:G40"/>
    <mergeCell ref="G5:H6"/>
    <mergeCell ref="E5:F6"/>
    <mergeCell ref="K5:L6"/>
    <mergeCell ref="I5:J6"/>
    <mergeCell ref="K4:L4"/>
    <mergeCell ref="C5:C6"/>
  </mergeCells>
  <conditionalFormatting sqref="A9:K39">
    <cfRule type="expression" priority="1" dxfId="0">
      <formula>OR($D9="В",$D9="П")</formula>
    </cfRule>
    <cfRule type="expression" priority="2" dxfId="1">
      <formula>$D9="О"</formula>
    </cfRule>
    <cfRule type="expression" priority="3" dxfId="2">
      <formula>$D9="Б"</formula>
    </cfRule>
  </conditionalFormatting>
  <conditionalFormatting sqref="J9:J39">
    <cfRule type="cellIs" priority="4" operator="greaterThan" dxfId="3">
      <formula>0</formula>
    </cfRule>
    <cfRule type="cellIs" priority="5" operator="lessThan" dxfId="4">
      <formula>0</formula>
    </cfRule>
  </conditionalFormatting>
  <dataValidations count="1">
    <dataValidation sqref="D9:D39" showDropDown="0" showInputMessage="0" showErrorMessage="0" allowBlank="1" errorTitle="Некорректный тип дня" error="Выберите тип из списка: Р, ПР, В, П, О, Б" type="list">
      <formula1>"Р,ПР,В,П,О,Б"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5" customWidth="1" min="3" max="3"/>
  </cols>
  <sheetData>
    <row r="2">
      <c r="B2" s="1" t="inlineStr">
        <is>
          <t>КАК ПОЛЬЗОВАТЬСЯ ТАБЛИЦЕЙ</t>
        </is>
      </c>
    </row>
    <row r="4">
      <c r="B4" s="29" t="inlineStr">
        <is>
          <t>1. Смена месяца</t>
        </is>
      </c>
      <c r="C4" s="23" t="inlineStr">
        <is>
          <t>В ячейках B5 (Год) и B6 (Месяц 1-12) укажите нужный период. Даты, дни недели и расчетные дни обновятся автоматически для всех 28/29/30/31 дней.</t>
        </is>
      </c>
    </row>
    <row r="5">
      <c r="B5" s="29" t="inlineStr">
        <is>
          <t>2. Настройка типов дней</t>
        </is>
      </c>
      <c r="C5" s="23" t="inlineStr">
        <is>
          <t>Колонка D («Тип») по умолчанию ставит «Р» для будней и «В» для выходных. Если день праздничный («П»), предпраздничный («ПР»), отпуск («О») или больничный («Б») — выберите значение из выпадающего списка в колонке D.</t>
        </is>
      </c>
    </row>
    <row r="6">
      <c r="B6" s="29" t="inlineStr">
        <is>
          <t>3. Ввод рабочего времени</t>
        </is>
      </c>
      <c r="C6" s="23" t="inlineStr">
        <is>
          <t>Каждый день заполняйте колонку E («Начало», например 09:00) и F («Конец», например 18:00). Время обеда в колонке G по умолчанию ставится 1.0 ч, но его можно изменить (например 0.5 или 0).</t>
        </is>
      </c>
    </row>
    <row r="7">
      <c r="B7" s="29" t="inlineStr">
        <is>
          <t>4. Автоматический расчет</t>
        </is>
      </c>
      <c r="C7" s="23" t="inlineStr">
        <is>
          <t>Колонка H («Факт») автоматически рассчитывает рабочие часы за вычетом обеда. Корректно поддерживается переход через полночь (например, 22:00 -&gt; 02:00).</t>
        </is>
      </c>
    </row>
    <row r="8">
      <c r="B8" s="29" t="inlineStr">
        <is>
          <t>5. Контроль нормы и баланс</t>
        </is>
      </c>
      <c r="C8" s="23" t="inlineStr">
        <is>
          <t>Вверху таблицы дашборд показывает: План (норма с учетом праздников и отпусков), Факт, Дельту (переработка/недоработка) и % выполнения плана.</t>
        </is>
      </c>
    </row>
    <row r="9">
      <c r="B9" s="29" t="inlineStr">
        <is>
          <t>6. Копирование на новый месяц</t>
        </is>
      </c>
      <c r="C9" s="23" t="inlineStr">
        <is>
          <t>Чтобы сохранить историю за прошлый месяц, просто кликните правой кнопкой мыши по ярлычку листа -&gt; «Переместить или скопировать» -&gt; поставьте галочку «Создать копию». Переименуйте копию (например, «Ноябрь 2026») и измените ячейку B6 на 11!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2026-10-14T15:42:21Z</dcterms:created>
  <dcterms:modified xsi:type="dcterms:W3CDTF">2026-10-14T15:42:21Z</dcterms:modified>
</cp:coreProperties>
</file>